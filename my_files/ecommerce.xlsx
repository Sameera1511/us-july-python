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488e1e13a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mmerce Data" sheetId="1" r:id="R2975090a473d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.00"/>
    <x:numFmt numFmtId="202" formatCode="0%"/>
    <x:numFmt numFmtId="203" formatCode="0&quot;%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70AD47"/>
      </x:patternFill>
    </x:fill>
    <x:fill>
      <x:patternFill patternType="solid">
        <x:fgColor rgb="FFEAF4E2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203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203" fontId="0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f45e6076848e5" /><Relationship Type="http://schemas.openxmlformats.org/officeDocument/2006/relationships/theme" Target="/xl/theme/theme1.xml" Id="Rb12bd9ed73e04ddb" /><Relationship Type="http://schemas.openxmlformats.org/officeDocument/2006/relationships/sharedStrings" Target="/xl/sharedStrings.xml" Id="R4e53b707009646dc" /><Relationship Type="http://schemas.openxmlformats.org/officeDocument/2006/relationships/worksheet" Target="/xl/worksheets/sheet1.xml" Id="R2975090a473d4284" /></Relationships>
</file>

<file path=xl/tables/table1.xml><?xml version="1.0" encoding="utf-8"?>
<x:table xmlns:x="http://schemas.openxmlformats.org/spreadsheetml/2006/main" id="1" name="EcommerceOrders" displayName="EcommerceOrders" ref="A1:L21" headerRowCount="1">
  <x:tableColumns count="12">
    <x:tableColumn id="1" name="Order ID"/>
    <x:tableColumn id="2" name="Order Date"/>
    <x:tableColumn id="3" name="Customer Name"/>
    <x:tableColumn id="4" name="Category"/>
    <x:tableColumn id="5" name="Product"/>
    <x:tableColumn id="6" name="Quantity"/>
    <x:tableColumn id="7" name="Unit Price"/>
    <x:tableColumn id="8" name="Discount %"/>
    <x:tableColumn id="9" name="Payment Method"/>
    <x:tableColumn id="10" name="Order Status"/>
    <x:tableColumn id="11" name="City"/>
    <x:tableColumn id="12" name="Reven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918192f464410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18" hidden="0" customWidth="1"/>
    <x:col min="5" max="5" width="28" hidden="0" customWidth="1"/>
    <x:col min="6" max="6" width="10" hidden="0" customWidth="1"/>
    <x:col min="7" max="7" width="14" hidden="0" customWidth="1"/>
    <x:col min="8" max="8" width="12" hidden="0" customWidth="1"/>
    <x:col min="9" max="9" width="18" hidden="0" customWidth="1"/>
    <x:col min="10" max="10" width="14" hidden="0" customWidth="1"/>
    <x:col min="11" max="11" width="16" hidden="0" customWidth="1"/>
    <x:col min="12" max="12" width="15" hidden="0" customWidth="1"/>
    <x:col min="14" max="14" width="20" hidden="0" customWidth="1"/>
    <x:col min="15" max="15" width="16" hidden="0" customWidth="1"/>
  </x:cols>
  <x:sheetData>
    <x:row r="1" ht="28" customHeight="1">
      <x:c r="A1" s="6" t="str">
        <x:v>Order ID</x:v>
      </x:c>
      <x:c r="B1" s="6" t="str">
        <x:v>Order Date</x:v>
      </x:c>
      <x:c r="C1" s="6" t="str">
        <x:v>Customer Name</x:v>
      </x:c>
      <x:c r="D1" s="6" t="str">
        <x:v>Category</x:v>
      </x:c>
      <x:c r="E1" s="6" t="str">
        <x:v>Product</x:v>
      </x:c>
      <x:c r="F1" s="6" t="str">
        <x:v>Quantity</x:v>
      </x:c>
      <x:c r="G1" s="6" t="str">
        <x:v>Unit Price</x:v>
      </x:c>
      <x:c r="H1" s="6" t="str">
        <x:v>Discount %</x:v>
      </x:c>
      <x:c r="I1" s="6" t="str">
        <x:v>Payment Method</x:v>
      </x:c>
      <x:c r="J1" s="6" t="str">
        <x:v>Order Status</x:v>
      </x:c>
      <x:c r="K1" s="6" t="str">
        <x:v>City</x:v>
      </x:c>
      <x:c r="L1" s="6" t="str">
        <x:v>Revenue</x:v>
      </x:c>
      <x:c r="N1" s="32" t="str">
        <x:v>Metric</x:v>
      </x:c>
      <x:c r="O1" s="32" t="str">
        <x:v>Value</x:v>
      </x:c>
    </x:row>
    <x:row r="2">
      <x:c r="A2" s="22" t="str">
        <x:v>ORD-1001</x:v>
      </x:c>
      <x:c r="B2" s="23" t="n">
        <x:v>46204</x:v>
      </x:c>
      <x:c r="C2" s="22" t="str">
        <x:v>Aarav Sharma</x:v>
      </x:c>
      <x:c r="D2" s="22" t="str">
        <x:v>Electronics</x:v>
      </x:c>
      <x:c r="E2" s="22" t="str">
        <x:v>Wireless Headphones</x:v>
      </x:c>
      <x:c r="F2" s="22" t="n">
        <x:v>2</x:v>
      </x:c>
      <x:c r="G2" s="24" t="n">
        <x:v>2499</x:v>
      </x:c>
      <x:c r="H2" s="25" t="n">
        <x:v>10</x:v>
      </x:c>
      <x:c r="I2" s="22" t="str">
        <x:v>UPI</x:v>
      </x:c>
      <x:c r="J2" s="22" t="str">
        <x:v>Delivered</x:v>
      </x:c>
      <x:c r="K2" s="22" t="str">
        <x:v>Pune</x:v>
      </x:c>
      <x:c r="L2" s="24" t="n">
        <x:f>F2*G2*(1-H2/100)</x:f>
        <x:v>4498.2</x:v>
      </x:c>
      <x:c r="N2" s="36" t="str">
        <x:v>Total Orders</x:v>
      </x:c>
      <x:c r="O2" s="36" t="n">
        <x:f>COUNTA(A2:A21)</x:f>
        <x:v>20</x:v>
      </x:c>
    </x:row>
    <x:row r="3">
      <x:c r="A3" s="12" t="str">
        <x:v>ORD-1002</x:v>
      </x:c>
      <x:c r="B3" s="14" t="n">
        <x:v>46205</x:v>
      </x:c>
      <x:c r="C3" s="12" t="str">
        <x:v>Sneha Patil</x:v>
      </x:c>
      <x:c r="D3" s="12" t="str">
        <x:v>Home &amp; Kitchen</x:v>
      </x:c>
      <x:c r="E3" s="12" t="str">
        <x:v>Mixer Grinder</x:v>
      </x:c>
      <x:c r="F3" s="12" t="n">
        <x:v>1</x:v>
      </x:c>
      <x:c r="G3" s="16" t="n">
        <x:v>3299</x:v>
      </x:c>
      <x:c r="H3" s="20" t="n">
        <x:v>5</x:v>
      </x:c>
      <x:c r="I3" s="12" t="str">
        <x:v>Credit Card</x:v>
      </x:c>
      <x:c r="J3" s="12" t="str">
        <x:v>Delivered</x:v>
      </x:c>
      <x:c r="K3" s="12" t="str">
        <x:v>Mumbai</x:v>
      </x:c>
      <x:c r="L3" s="16" t="n">
        <x:f>F3*G3*(1-H3/100)</x:f>
        <x:v>3134.0499999999997</x:v>
      </x:c>
      <x:c r="N3" s="36" t="str">
        <x:v>Delivered Orders</x:v>
      </x:c>
      <x:c r="O3" s="36" t="n">
        <x:f>COUNTIF(J2:J21,"Delivered")</x:f>
        <x:v>12</x:v>
      </x:c>
    </x:row>
    <x:row r="4">
      <x:c r="A4" s="22" t="str">
        <x:v>ORD-1003</x:v>
      </x:c>
      <x:c r="B4" s="23" t="n">
        <x:v>46206</x:v>
      </x:c>
      <x:c r="C4" s="22" t="str">
        <x:v>Rohan Mehta</x:v>
      </x:c>
      <x:c r="D4" s="22" t="str">
        <x:v>Fashion</x:v>
      </x:c>
      <x:c r="E4" s="22" t="str">
        <x:v>Running Shoes</x:v>
      </x:c>
      <x:c r="F4" s="22" t="n">
        <x:v>1</x:v>
      </x:c>
      <x:c r="G4" s="24" t="n">
        <x:v>2199</x:v>
      </x:c>
      <x:c r="H4" s="25" t="n">
        <x:v>15</x:v>
      </x:c>
      <x:c r="I4" s="22" t="str">
        <x:v>UPI</x:v>
      </x:c>
      <x:c r="J4" s="22" t="str">
        <x:v>Shipped</x:v>
      </x:c>
      <x:c r="K4" s="22" t="str">
        <x:v>Bengaluru</x:v>
      </x:c>
      <x:c r="L4" s="24" t="n">
        <x:f>F4*G4*(1-H4/100)</x:f>
        <x:v>1869.1499999999999</x:v>
      </x:c>
      <x:c r="N4" s="36" t="str">
        <x:v>Total Revenue</x:v>
      </x:c>
      <x:c r="O4" s="38" t="n">
        <x:f>SUM(L2:L21)</x:f>
        <x:v>53133.68</x:v>
      </x:c>
    </x:row>
    <x:row r="5">
      <x:c r="A5" s="12" t="str">
        <x:v>ORD-1004</x:v>
      </x:c>
      <x:c r="B5" s="14" t="n">
        <x:v>46207</x:v>
      </x:c>
      <x:c r="C5" s="12" t="str">
        <x:v>Priya Nair</x:v>
      </x:c>
      <x:c r="D5" s="12" t="str">
        <x:v>Beauty</x:v>
      </x:c>
      <x:c r="E5" s="12" t="str">
        <x:v>Skincare Kit</x:v>
      </x:c>
      <x:c r="F5" s="12" t="n">
        <x:v>3</x:v>
      </x:c>
      <x:c r="G5" s="16" t="n">
        <x:v>899</x:v>
      </x:c>
      <x:c r="H5" s="20" t="n">
        <x:v>8</x:v>
      </x:c>
      <x:c r="I5" s="12" t="str">
        <x:v>Debit Card</x:v>
      </x:c>
      <x:c r="J5" s="12" t="str">
        <x:v>Delivered</x:v>
      </x:c>
      <x:c r="K5" s="12" t="str">
        <x:v>Kochi</x:v>
      </x:c>
      <x:c r="L5" s="16" t="n">
        <x:f>F5*G5*(1-H5/100)</x:f>
        <x:v>2481.2400000000002</x:v>
      </x:c>
      <x:c r="N5" s="36" t="str">
        <x:v>Average Order Value</x:v>
      </x:c>
      <x:c r="O5" s="38" t="n">
        <x:f>AVERAGE(L2:L21)</x:f>
        <x:v>2656.684</x:v>
      </x:c>
    </x:row>
    <x:row r="6">
      <x:c r="A6" s="22" t="str">
        <x:v>ORD-1005</x:v>
      </x:c>
      <x:c r="B6" s="23" t="n">
        <x:v>46208</x:v>
      </x:c>
      <x:c r="C6" s="22" t="str">
        <x:v>Vikram Joshi</x:v>
      </x:c>
      <x:c r="D6" s="22" t="str">
        <x:v>Electronics</x:v>
      </x:c>
      <x:c r="E6" s="22" t="str">
        <x:v>Smart Watch</x:v>
      </x:c>
      <x:c r="F6" s="22" t="n">
        <x:v>1</x:v>
      </x:c>
      <x:c r="G6" s="24" t="n">
        <x:v>4999</x:v>
      </x:c>
      <x:c r="H6" s="25" t="n">
        <x:v>12</x:v>
      </x:c>
      <x:c r="I6" s="22" t="str">
        <x:v>Credit Card</x:v>
      </x:c>
      <x:c r="J6" s="22" t="str">
        <x:v>Processing</x:v>
      </x:c>
      <x:c r="K6" s="22" t="str">
        <x:v>Delhi</x:v>
      </x:c>
      <x:c r="L6" s="24" t="n">
        <x:f>F6*G6*(1-H6/100)</x:f>
        <x:v>4399.12</x:v>
      </x:c>
    </x:row>
    <x:row r="7">
      <x:c r="A7" s="12" t="str">
        <x:v>ORD-1006</x:v>
      </x:c>
      <x:c r="B7" s="14" t="n">
        <x:v>46209</x:v>
      </x:c>
      <x:c r="C7" s="12" t="str">
        <x:v>Neha Kulkarni</x:v>
      </x:c>
      <x:c r="D7" s="12" t="str">
        <x:v>Books</x:v>
      </x:c>
      <x:c r="E7" s="12" t="str">
        <x:v>Programming in Python</x:v>
      </x:c>
      <x:c r="F7" s="12" t="n">
        <x:v>2</x:v>
      </x:c>
      <x:c r="G7" s="16" t="n">
        <x:v>799</x:v>
      </x:c>
      <x:c r="H7" s="20" t="n">
        <x:v>5</x:v>
      </x:c>
      <x:c r="I7" s="12" t="str">
        <x:v>UPI</x:v>
      </x:c>
      <x:c r="J7" s="12" t="str">
        <x:v>Delivered</x:v>
      </x:c>
      <x:c r="K7" s="12" t="str">
        <x:v>Nagpur</x:v>
      </x:c>
      <x:c r="L7" s="16" t="n">
        <x:f>F7*G7*(1-H7/100)</x:f>
        <x:v>1518.1</x:v>
      </x:c>
    </x:row>
    <x:row r="8">
      <x:c r="A8" s="22" t="str">
        <x:v>ORD-1007</x:v>
      </x:c>
      <x:c r="B8" s="23" t="n">
        <x:v>46210</x:v>
      </x:c>
      <x:c r="C8" s="22" t="str">
        <x:v>Aditya Singh</x:v>
      </x:c>
      <x:c r="D8" s="22" t="str">
        <x:v>Sports</x:v>
      </x:c>
      <x:c r="E8" s="22" t="str">
        <x:v>Yoga Mat</x:v>
      </x:c>
      <x:c r="F8" s="22" t="n">
        <x:v>2</x:v>
      </x:c>
      <x:c r="G8" s="24" t="n">
        <x:v>699</x:v>
      </x:c>
      <x:c r="H8" s="25" t="n">
        <x:v>10</x:v>
      </x:c>
      <x:c r="I8" s="22" t="str">
        <x:v>Cash on Delivery</x:v>
      </x:c>
      <x:c r="J8" s="22" t="str">
        <x:v>Delivered</x:v>
      </x:c>
      <x:c r="K8" s="22" t="str">
        <x:v>Jaipur</x:v>
      </x:c>
      <x:c r="L8" s="24" t="n">
        <x:f>F8*G8*(1-H8/100)</x:f>
        <x:v>1258.2</x:v>
      </x:c>
    </x:row>
    <x:row r="9">
      <x:c r="A9" s="12" t="str">
        <x:v>ORD-1008</x:v>
      </x:c>
      <x:c r="B9" s="14" t="n">
        <x:v>46211</x:v>
      </x:c>
      <x:c r="C9" s="12" t="str">
        <x:v>Kavya Rao</x:v>
      </x:c>
      <x:c r="D9" s="12" t="str">
        <x:v>Fashion</x:v>
      </x:c>
      <x:c r="E9" s="12" t="str">
        <x:v>Cotton Kurti</x:v>
      </x:c>
      <x:c r="F9" s="12" t="n">
        <x:v>2</x:v>
      </x:c>
      <x:c r="G9" s="16" t="n">
        <x:v>1299</x:v>
      </x:c>
      <x:c r="H9" s="20" t="n">
        <x:v>7</x:v>
      </x:c>
      <x:c r="I9" s="12" t="str">
        <x:v>UPI</x:v>
      </x:c>
      <x:c r="J9" s="12" t="str">
        <x:v>Cancelled</x:v>
      </x:c>
      <x:c r="K9" s="12" t="str">
        <x:v>Hyderabad</x:v>
      </x:c>
      <x:c r="L9" s="16" t="n">
        <x:f>F9*G9*(1-H9/100)</x:f>
        <x:v>2416.14</x:v>
      </x:c>
    </x:row>
    <x:row r="10">
      <x:c r="A10" s="22" t="str">
        <x:v>ORD-1009</x:v>
      </x:c>
      <x:c r="B10" s="23" t="n">
        <x:v>46212</x:v>
      </x:c>
      <x:c r="C10" s="22" t="str">
        <x:v>Rahul Deshmukh</x:v>
      </x:c>
      <x:c r="D10" s="22" t="str">
        <x:v>Electronics</x:v>
      </x:c>
      <x:c r="E10" s="22" t="str">
        <x:v>Bluetooth Speaker</x:v>
      </x:c>
      <x:c r="F10" s="22" t="n">
        <x:v>1</x:v>
      </x:c>
      <x:c r="G10" s="24" t="n">
        <x:v>1899</x:v>
      </x:c>
      <x:c r="H10" s="25" t="n">
        <x:v>10</x:v>
      </x:c>
      <x:c r="I10" s="22" t="str">
        <x:v>Net Banking</x:v>
      </x:c>
      <x:c r="J10" s="22" t="str">
        <x:v>Shipped</x:v>
      </x:c>
      <x:c r="K10" s="22" t="str">
        <x:v>Nashik</x:v>
      </x:c>
      <x:c r="L10" s="24" t="n">
        <x:f>F10*G10*(1-H10/100)</x:f>
        <x:v>1709.1000000000001</x:v>
      </x:c>
    </x:row>
    <x:row r="11">
      <x:c r="A11" s="12" t="str">
        <x:v>ORD-1010</x:v>
      </x:c>
      <x:c r="B11" s="14" t="n">
        <x:v>46213</x:v>
      </x:c>
      <x:c r="C11" s="12" t="str">
        <x:v>Isha Gupta</x:v>
      </x:c>
      <x:c r="D11" s="12" t="str">
        <x:v>Home &amp; Kitchen</x:v>
      </x:c>
      <x:c r="E11" s="12" t="str">
        <x:v>Air Fryer</x:v>
      </x:c>
      <x:c r="F11" s="12" t="n">
        <x:v>1</x:v>
      </x:c>
      <x:c r="G11" s="16" t="n">
        <x:v>5499</x:v>
      </x:c>
      <x:c r="H11" s="20" t="n">
        <x:v>15</x:v>
      </x:c>
      <x:c r="I11" s="12" t="str">
        <x:v>Credit Card</x:v>
      </x:c>
      <x:c r="J11" s="12" t="str">
        <x:v>Delivered</x:v>
      </x:c>
      <x:c r="K11" s="12" t="str">
        <x:v>Gurugram</x:v>
      </x:c>
      <x:c r="L11" s="16" t="n">
        <x:f>F11*G11*(1-H11/100)</x:f>
        <x:v>4674.15</x:v>
      </x:c>
    </x:row>
    <x:row r="12">
      <x:c r="A12" s="22" t="str">
        <x:v>ORD-1011</x:v>
      </x:c>
      <x:c r="B12" s="23" t="n">
        <x:v>46214</x:v>
      </x:c>
      <x:c r="C12" s="22" t="str">
        <x:v>Manish Verma</x:v>
      </x:c>
      <x:c r="D12" s="22" t="str">
        <x:v>Grocery</x:v>
      </x:c>
      <x:c r="E12" s="22" t="str">
        <x:v>Dry Fruits Pack</x:v>
      </x:c>
      <x:c r="F12" s="22" t="n">
        <x:v>4</x:v>
      </x:c>
      <x:c r="G12" s="24" t="n">
        <x:v>599</x:v>
      </x:c>
      <x:c r="H12" s="25" t="n">
        <x:v>5</x:v>
      </x:c>
      <x:c r="I12" s="22" t="str">
        <x:v>UPI</x:v>
      </x:c>
      <x:c r="J12" s="22" t="str">
        <x:v>Delivered</x:v>
      </x:c>
      <x:c r="K12" s="22" t="str">
        <x:v>Indore</x:v>
      </x:c>
      <x:c r="L12" s="24" t="n">
        <x:f>F12*G12*(1-H12/100)</x:f>
        <x:v>2276.2</x:v>
      </x:c>
    </x:row>
    <x:row r="13">
      <x:c r="A13" s="12" t="str">
        <x:v>ORD-1012</x:v>
      </x:c>
      <x:c r="B13" s="14" t="n">
        <x:v>46215</x:v>
      </x:c>
      <x:c r="C13" s="12" t="str">
        <x:v>Pooja Shah</x:v>
      </x:c>
      <x:c r="D13" s="12" t="str">
        <x:v>Beauty</x:v>
      </x:c>
      <x:c r="E13" s="12" t="str">
        <x:v>Perfume</x:v>
      </x:c>
      <x:c r="F13" s="12" t="n">
        <x:v>2</x:v>
      </x:c>
      <x:c r="G13" s="16" t="n">
        <x:v>1599</x:v>
      </x:c>
      <x:c r="H13" s="20" t="n">
        <x:v>10</x:v>
      </x:c>
      <x:c r="I13" s="12" t="str">
        <x:v>Debit Card</x:v>
      </x:c>
      <x:c r="J13" s="12" t="str">
        <x:v>Shipped</x:v>
      </x:c>
      <x:c r="K13" s="12" t="str">
        <x:v>Ahmedabad</x:v>
      </x:c>
      <x:c r="L13" s="16" t="n">
        <x:f>F13*G13*(1-H13/100)</x:f>
        <x:v>2878.2000000000003</x:v>
      </x:c>
    </x:row>
    <x:row r="14">
      <x:c r="A14" s="22" t="str">
        <x:v>ORD-1013</x:v>
      </x:c>
      <x:c r="B14" s="23" t="n">
        <x:v>46216</x:v>
      </x:c>
      <x:c r="C14" s="22" t="str">
        <x:v>Siddharth Iyer</x:v>
      </x:c>
      <x:c r="D14" s="22" t="str">
        <x:v>Electronics</x:v>
      </x:c>
      <x:c r="E14" s="22" t="str">
        <x:v>Mechanical Keyboard</x:v>
      </x:c>
      <x:c r="F14" s="22" t="n">
        <x:v>1</x:v>
      </x:c>
      <x:c r="G14" s="24" t="n">
        <x:v>3599</x:v>
      </x:c>
      <x:c r="H14" s="25" t="n">
        <x:v>8</x:v>
      </x:c>
      <x:c r="I14" s="22" t="str">
        <x:v>UPI</x:v>
      </x:c>
      <x:c r="J14" s="22" t="str">
        <x:v>Delivered</x:v>
      </x:c>
      <x:c r="K14" s="22" t="str">
        <x:v>Chennai</x:v>
      </x:c>
      <x:c r="L14" s="24" t="n">
        <x:f>F14*G14*(1-H14/100)</x:f>
        <x:v>3311.08</x:v>
      </x:c>
    </x:row>
    <x:row r="15">
      <x:c r="A15" s="12" t="str">
        <x:v>ORD-1014</x:v>
      </x:c>
      <x:c r="B15" s="14" t="n">
        <x:v>46217</x:v>
      </x:c>
      <x:c r="C15" s="12" t="str">
        <x:v>Ananya Kapoor</x:v>
      </x:c>
      <x:c r="D15" s="12" t="str">
        <x:v>Fashion</x:v>
      </x:c>
      <x:c r="E15" s="12" t="str">
        <x:v>Handbag</x:v>
      </x:c>
      <x:c r="F15" s="12" t="n">
        <x:v>1</x:v>
      </x:c>
      <x:c r="G15" s="16" t="n">
        <x:v>2799</x:v>
      </x:c>
      <x:c r="H15" s="20" t="n">
        <x:v>20</x:v>
      </x:c>
      <x:c r="I15" s="12" t="str">
        <x:v>Credit Card</x:v>
      </x:c>
      <x:c r="J15" s="12" t="str">
        <x:v>Processing</x:v>
      </x:c>
      <x:c r="K15" s="12" t="str">
        <x:v>Kolkata</x:v>
      </x:c>
      <x:c r="L15" s="16" t="n">
        <x:f>F15*G15*(1-H15/100)</x:f>
        <x:v>2239.2000000000003</x:v>
      </x:c>
    </x:row>
    <x:row r="16">
      <x:c r="A16" s="22" t="str">
        <x:v>ORD-1015</x:v>
      </x:c>
      <x:c r="B16" s="23" t="n">
        <x:v>46218</x:v>
      </x:c>
      <x:c r="C16" s="22" t="str">
        <x:v>Kunal Jadhav</x:v>
      </x:c>
      <x:c r="D16" s="22" t="str">
        <x:v>Sports</x:v>
      </x:c>
      <x:c r="E16" s="22" t="str">
        <x:v>Cricket Bat</x:v>
      </x:c>
      <x:c r="F16" s="22" t="n">
        <x:v>1</x:v>
      </x:c>
      <x:c r="G16" s="24" t="n">
        <x:v>4499</x:v>
      </x:c>
      <x:c r="H16" s="25" t="n">
        <x:v>12</x:v>
      </x:c>
      <x:c r="I16" s="22" t="str">
        <x:v>Cash on Delivery</x:v>
      </x:c>
      <x:c r="J16" s="22" t="str">
        <x:v>Delivered</x:v>
      </x:c>
      <x:c r="K16" s="22" t="str">
        <x:v>Aurangabad</x:v>
      </x:c>
      <x:c r="L16" s="24" t="n">
        <x:f>F16*G16*(1-H16/100)</x:f>
        <x:v>3959.12</x:v>
      </x:c>
    </x:row>
    <x:row r="17">
      <x:c r="A17" s="12" t="str">
        <x:v>ORD-1016</x:v>
      </x:c>
      <x:c r="B17" s="14" t="n">
        <x:v>46219</x:v>
      </x:c>
      <x:c r="C17" s="12" t="str">
        <x:v>Meera Desai</x:v>
      </x:c>
      <x:c r="D17" s="12" t="str">
        <x:v>Books</x:v>
      </x:c>
      <x:c r="E17" s="12" t="str">
        <x:v>Data Science Handbook</x:v>
      </x:c>
      <x:c r="F17" s="12" t="n">
        <x:v>1</x:v>
      </x:c>
      <x:c r="G17" s="16" t="n">
        <x:v>1199</x:v>
      </x:c>
      <x:c r="H17" s="20" t="n">
        <x:v>5</x:v>
      </x:c>
      <x:c r="I17" s="12" t="str">
        <x:v>UPI</x:v>
      </x:c>
      <x:c r="J17" s="12" t="str">
        <x:v>Delivered</x:v>
      </x:c>
      <x:c r="K17" s="12" t="str">
        <x:v>Surat</x:v>
      </x:c>
      <x:c r="L17" s="16" t="n">
        <x:f>F17*G17*(1-H17/100)</x:f>
        <x:v>1139.05</x:v>
      </x:c>
    </x:row>
    <x:row r="18">
      <x:c r="A18" s="22" t="str">
        <x:v>ORD-1017</x:v>
      </x:c>
      <x:c r="B18" s="23" t="n">
        <x:v>46220</x:v>
      </x:c>
      <x:c r="C18" s="22" t="str">
        <x:v>Arjun Bhat</x:v>
      </x:c>
      <x:c r="D18" s="22" t="str">
        <x:v>Home &amp; Kitchen</x:v>
      </x:c>
      <x:c r="E18" s="22" t="str">
        <x:v>Coffee Maker</x:v>
      </x:c>
      <x:c r="F18" s="22" t="n">
        <x:v>1</x:v>
      </x:c>
      <x:c r="G18" s="24" t="n">
        <x:v>3899</x:v>
      </x:c>
      <x:c r="H18" s="25" t="n">
        <x:v>10</x:v>
      </x:c>
      <x:c r="I18" s="22" t="str">
        <x:v>Debit Card</x:v>
      </x:c>
      <x:c r="J18" s="22" t="str">
        <x:v>Returned</x:v>
      </x:c>
      <x:c r="K18" s="22" t="str">
        <x:v>Bengaluru</x:v>
      </x:c>
      <x:c r="L18" s="24" t="n">
        <x:f>F18*G18*(1-H18/100)</x:f>
        <x:v>3509.1</x:v>
      </x:c>
    </x:row>
    <x:row r="19">
      <x:c r="A19" s="12" t="str">
        <x:v>ORD-1018</x:v>
      </x:c>
      <x:c r="B19" s="14" t="n">
        <x:v>46221</x:v>
      </x:c>
      <x:c r="C19" s="12" t="str">
        <x:v>Tanvi Mishra</x:v>
      </x:c>
      <x:c r="D19" s="12" t="str">
        <x:v>Grocery</x:v>
      </x:c>
      <x:c r="E19" s="12" t="str">
        <x:v>Organic Honey</x:v>
      </x:c>
      <x:c r="F19" s="12" t="n">
        <x:v>3</x:v>
      </x:c>
      <x:c r="G19" s="16" t="n">
        <x:v>449</x:v>
      </x:c>
      <x:c r="H19" s="20" t="n">
        <x:v>0</x:v>
      </x:c>
      <x:c r="I19" s="12" t="str">
        <x:v>UPI</x:v>
      </x:c>
      <x:c r="J19" s="12" t="str">
        <x:v>Delivered</x:v>
      </x:c>
      <x:c r="K19" s="12" t="str">
        <x:v>Lucknow</x:v>
      </x:c>
      <x:c r="L19" s="16" t="n">
        <x:f>F19*G19*(1-H19/100)</x:f>
        <x:v>1347</x:v>
      </x:c>
    </x:row>
    <x:row r="20">
      <x:c r="A20" s="22" t="str">
        <x:v>ORD-1019</x:v>
      </x:c>
      <x:c r="B20" s="23" t="n">
        <x:v>46222</x:v>
      </x:c>
      <x:c r="C20" s="22" t="str">
        <x:v>Suresh Pawar</x:v>
      </x:c>
      <x:c r="D20" s="22" t="str">
        <x:v>Electronics</x:v>
      </x:c>
      <x:c r="E20" s="22" t="str">
        <x:v>Power Bank</x:v>
      </x:c>
      <x:c r="F20" s="22" t="n">
        <x:v>2</x:v>
      </x:c>
      <x:c r="G20" s="24" t="n">
        <x:v>1299</x:v>
      </x:c>
      <x:c r="H20" s="25" t="n">
        <x:v>5</x:v>
      </x:c>
      <x:c r="I20" s="22" t="str">
        <x:v>Net Banking</x:v>
      </x:c>
      <x:c r="J20" s="22" t="str">
        <x:v>Shipped</x:v>
      </x:c>
      <x:c r="K20" s="22" t="str">
        <x:v>Thane</x:v>
      </x:c>
      <x:c r="L20" s="24" t="n">
        <x:f>F20*G20*(1-H20/100)</x:f>
        <x:v>2468.1</x:v>
      </x:c>
    </x:row>
    <x:row r="21">
      <x:c r="A21" s="12" t="str">
        <x:v>ORD-1020</x:v>
      </x:c>
      <x:c r="B21" s="14" t="n">
        <x:v>46223</x:v>
      </x:c>
      <x:c r="C21" s="12" t="str">
        <x:v>Riya Choudhary</x:v>
      </x:c>
      <x:c r="D21" s="12" t="str">
        <x:v>Fashion</x:v>
      </x:c>
      <x:c r="E21" s="12" t="str">
        <x:v>Denim Jacket</x:v>
      </x:c>
      <x:c r="F21" s="12" t="n">
        <x:v>1</x:v>
      </x:c>
      <x:c r="G21" s="16" t="n">
        <x:v>2499</x:v>
      </x:c>
      <x:c r="H21" s="20" t="n">
        <x:v>18</x:v>
      </x:c>
      <x:c r="I21" s="12" t="str">
        <x:v>Credit Card</x:v>
      </x:c>
      <x:c r="J21" s="12" t="str">
        <x:v>Delivered</x:v>
      </x:c>
      <x:c r="K21" s="12" t="str">
        <x:v>Noida</x:v>
      </x:c>
      <x:c r="L21" s="16" t="n">
        <x:f>F21*G21*(1-H21/100)</x:f>
        <x:v>2049.1800000000003</x:v>
      </x:c>
    </x:row>
  </x:sheetData>
  <x:conditionalFormatting sqref="J2:J21">
    <x:cfRule type="expression" dxfId="0" priority="1">
      <x:formula>J2="Delivered"</x:formula>
    </x:cfRule>
    <x:cfRule type="expression" dxfId="1" priority="2">
      <x:formula>J2="Cancelled"</x:formula>
    </x:cfRule>
    <x:cfRule type="expression" dxfId="2" priority="3">
      <x:formula>J2="Returned"</x:formula>
    </x:cfRule>
  </x:conditionalFormatting>
  <x:conditionalFormatting sqref="H2:H21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{71371B28-8240-3605-D474-21D30D9484EF}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f918192f464410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71371B28-8240-3605-D474-21D30D9484EF}">
            <x14:dataBar gradient="1">
              <x14:cfvo type="min"/>
              <x14:cfvo type="max"/>
              <x14:fillColor rgb="FF5B9BD5"/>
            </x14:dataBar>
          </x14:cfRule>
          <xm:sqref>H2:H21</xm:sqref>
        </x14:conditionalFormatting>
      </x14:conditionalFormattings>
    </x:ext>
  </x:extLst>
</x:worksheet>
</file>